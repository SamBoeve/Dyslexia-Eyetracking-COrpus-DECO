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sam_boeve_ugent_be/Documents/FWO WorkPackage2/Dyslexia/DECO Analysis FULL/PP Data/"/>
    </mc:Choice>
  </mc:AlternateContent>
  <xr:revisionPtr revIDLastSave="85" documentId="11_6C39003FE04FFCDD8B88C3BB76447912A0C8DF06" xr6:coauthVersionLast="47" xr6:coauthVersionMax="47" xr10:uidLastSave="{540370DE-4EF0-4FA8-879C-C26A2DDA8BC5}"/>
  <bookViews>
    <workbookView xWindow="-25965" yWindow="-7080" windowWidth="21600" windowHeight="11235" xr2:uid="{00000000-000D-0000-FFFF-FFFF00000000}"/>
  </bookViews>
  <sheets>
    <sheet name="Output" sheetId="1" r:id="rId1"/>
    <sheet name="Legen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E20" i="1"/>
  <c r="I4" i="1" l="1"/>
  <c r="J4" i="1"/>
  <c r="J8" i="1"/>
  <c r="I8" i="1"/>
  <c r="L13" i="1"/>
  <c r="K13" i="1"/>
  <c r="I13" i="1"/>
  <c r="J13" i="1"/>
  <c r="F13" i="1"/>
  <c r="E13" i="1"/>
  <c r="I10" i="1"/>
  <c r="J10" i="1"/>
  <c r="F10" i="1"/>
  <c r="E10" i="1"/>
  <c r="L15" i="1"/>
  <c r="K15" i="1"/>
  <c r="J15" i="1"/>
  <c r="E15" i="1"/>
  <c r="F15" i="1"/>
  <c r="J2" i="1"/>
  <c r="I2" i="1"/>
  <c r="L2" i="1"/>
  <c r="K2" i="1"/>
  <c r="L12" i="1"/>
  <c r="K12" i="1"/>
  <c r="I12" i="1"/>
  <c r="J12" i="1"/>
  <c r="L5" i="1"/>
  <c r="K5" i="1"/>
  <c r="J5" i="1"/>
  <c r="I5" i="1"/>
  <c r="K14" i="1"/>
  <c r="L14" i="1"/>
  <c r="J14" i="1"/>
  <c r="I14" i="1"/>
  <c r="E9" i="1"/>
  <c r="J16" i="1"/>
  <c r="L16" i="1"/>
  <c r="K16" i="1"/>
  <c r="L11" i="1"/>
  <c r="K11" i="1"/>
  <c r="J11" i="1"/>
  <c r="F11" i="1"/>
  <c r="E11" i="1"/>
  <c r="I11" i="1"/>
  <c r="J7" i="1"/>
  <c r="I7" i="1"/>
  <c r="L7" i="1"/>
  <c r="K7" i="1"/>
  <c r="I3" i="1"/>
  <c r="J3" i="1"/>
  <c r="K3" i="1"/>
  <c r="L3" i="1"/>
  <c r="F9" i="1"/>
  <c r="I9" i="1"/>
  <c r="J9" i="1"/>
  <c r="J6" i="1"/>
  <c r="K9" i="1"/>
  <c r="L9" i="1"/>
  <c r="I6" i="1"/>
  <c r="L6" i="1"/>
  <c r="K6" i="1"/>
  <c r="F6" i="1"/>
  <c r="E6" i="1"/>
</calcChain>
</file>

<file path=xl/sharedStrings.xml><?xml version="1.0" encoding="utf-8"?>
<sst xmlns="http://schemas.openxmlformats.org/spreadsheetml/2006/main" count="117" uniqueCount="59">
  <si>
    <t>LD_Dutch_Acc</t>
  </si>
  <si>
    <t>LD_English_Acc</t>
  </si>
  <si>
    <t>female</t>
  </si>
  <si>
    <t>male</t>
  </si>
  <si>
    <t>PP_NR</t>
  </si>
  <si>
    <t>AGE</t>
  </si>
  <si>
    <t>AOA_ENG</t>
  </si>
  <si>
    <t>%EXP_DUTCH</t>
  </si>
  <si>
    <t>%EXP_ENG</t>
  </si>
  <si>
    <t>LEXTALE_DUTCH</t>
  </si>
  <si>
    <t>LEXTALE_ENG</t>
  </si>
  <si>
    <t>SPELLING_DUTCH</t>
  </si>
  <si>
    <t>SPELLING_ENG</t>
  </si>
  <si>
    <t>COMPR_DUTCH</t>
  </si>
  <si>
    <t>COMPR_ENG</t>
  </si>
  <si>
    <t>LFT_DYSLEXIE</t>
  </si>
  <si>
    <t>SUBJ_DYSLEXIE</t>
  </si>
  <si>
    <t>LAST</t>
  </si>
  <si>
    <t>The identification number of the participant.</t>
  </si>
  <si>
    <t>GROUP</t>
  </si>
  <si>
    <t>Factor indicating whether the participants belonged to the unbalanced bilingual ("bilingual") or monolingual group ("monolingual")</t>
  </si>
  <si>
    <t>Age of the participant in years</t>
  </si>
  <si>
    <t>SEX</t>
  </si>
  <si>
    <t>Sex of the participant ("f"=female, "m"=male)</t>
  </si>
  <si>
    <t>Age of Acquisition of the English language or zero when monolingual</t>
  </si>
  <si>
    <t>Percentage of daily language exposure to Dutch</t>
  </si>
  <si>
    <t>Percentage of daily language exposure to English</t>
  </si>
  <si>
    <t>Score on the Dutch LexTALE (Lexical Test for Advanced learners of English; Lemhöfer &amp; Broersma, 2012), NA for monolinguals</t>
  </si>
  <si>
    <t>Score on the English LexTALE (Lexical Test for Advanced learners of English; Lemhöfer &amp; Broersma, 2012)</t>
  </si>
  <si>
    <t>Percentage score on the Dutch spelling test  (GL&amp;SCHR; De Pessemier &amp; Andries ,2009)</t>
  </si>
  <si>
    <t>Percentage score on the English spelling test (WRAT4; Dell, Harrold, &amp; Dell, 2008)</t>
  </si>
  <si>
    <t>Percentage score on the multiple-choice questions for the Dutch chapters of the novel</t>
  </si>
  <si>
    <t>Percentage score on the multiple-choice questions for the English chapters of the novel</t>
  </si>
  <si>
    <t>LEX_DEC_ACC_DUTCH</t>
  </si>
  <si>
    <t>Percentage score of accuracy on the Dutch lexical decision task on the word trails, corrected for false positives.</t>
  </si>
  <si>
    <t>LEX_DEC_ACC_ENG</t>
  </si>
  <si>
    <t>Percentage score of accuracy on the English lexical decision task on the word trails, corrected for false positives.</t>
  </si>
  <si>
    <t>Leeftijd waarop dyslexie is vastgesteld</t>
  </si>
  <si>
    <t>Subjectieve inschatting dyslexie: zeer lichte-lichte-matige-zware-zeer zware</t>
  </si>
  <si>
    <t>Van lezen en/of niet lezen (spellen, studeren…)</t>
  </si>
  <si>
    <t>LEM</t>
  </si>
  <si>
    <t>Aantal woorden juist gelezen binnen 1 minuut</t>
  </si>
  <si>
    <t>Zware</t>
  </si>
  <si>
    <t xml:space="preserve">female </t>
  </si>
  <si>
    <t>ORT</t>
  </si>
  <si>
    <t>AGE_DIAGNOSIS</t>
  </si>
  <si>
    <t>SUBJ_SEV</t>
  </si>
  <si>
    <t>Light</t>
  </si>
  <si>
    <t xml:space="preserve">Light </t>
  </si>
  <si>
    <t>Mediocre</t>
  </si>
  <si>
    <t xml:space="preserve">Mediocre </t>
  </si>
  <si>
    <t>Severe</t>
  </si>
  <si>
    <t>Reading &amp; Spelling</t>
  </si>
  <si>
    <t xml:space="preserve">Reading &amp; Spelling </t>
  </si>
  <si>
    <t>Reading</t>
  </si>
  <si>
    <t>Spelling</t>
  </si>
  <si>
    <t xml:space="preserve">Reading </t>
  </si>
  <si>
    <t>DIFF</t>
  </si>
  <si>
    <t>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</si>
</sst>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2" fontId="0" fillId="0" borderId="0" xfId="0" applyNumberFormat="1"/>
    <xf numFmtId="0" fontId="2" fillId="0" borderId="0" xfId="1" applyFont="1"/>
    <xf numFmtId="0" fontId="1" fillId="0" borderId="0" xfId="1"/>
    <xf numFmtId="0" fontId="0" fillId="0" borderId="0" xfId="0" applyAlignment="1">
      <alignment horizontal="center"/>
    </xf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0" fontId="1" fillId="0" borderId="0" xfId="0" applyFont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topLeftCell="B1" zoomScale="80" zoomScaleNormal="80" workbookViewId="0">
      <selection activeCell="S28" sqref="S28"/>
    </sheetView>
  </sheetViews>
  <sheetFormatPr defaultRowHeight="14.4" x14ac:dyDescent="0.3"/>
  <cols>
    <col min="4" max="4" width="10.21875" bestFit="1" customWidth="1"/>
    <col min="5" max="5" width="13.6640625" bestFit="1" customWidth="1"/>
    <col min="6" max="6" width="11.109375" bestFit="1" customWidth="1"/>
    <col min="7" max="7" width="16.33203125" bestFit="1" customWidth="1"/>
    <col min="8" max="8" width="13.77734375" bestFit="1" customWidth="1"/>
    <col min="9" max="9" width="17.33203125" bestFit="1" customWidth="1"/>
    <col min="10" max="10" width="14.21875" bestFit="1" customWidth="1"/>
    <col min="11" max="11" width="15.6640625" bestFit="1" customWidth="1"/>
    <col min="12" max="12" width="14.109375" bestFit="1" customWidth="1"/>
    <col min="14" max="14" width="14.109375" bestFit="1" customWidth="1"/>
    <col min="15" max="15" width="12.33203125" bestFit="1" customWidth="1"/>
    <col min="16" max="17" width="13.77734375" bestFit="1" customWidth="1"/>
    <col min="18" max="18" width="20.109375" bestFit="1" customWidth="1"/>
  </cols>
  <sheetData>
    <row r="1" spans="1:19" ht="15.6" x14ac:dyDescent="0.3">
      <c r="A1" t="s">
        <v>4</v>
      </c>
      <c r="B1" s="4" t="s">
        <v>5</v>
      </c>
      <c r="C1" s="4" t="s">
        <v>22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10</v>
      </c>
      <c r="I1" s="5" t="s">
        <v>11</v>
      </c>
      <c r="J1" s="6" t="s">
        <v>12</v>
      </c>
      <c r="K1" s="5" t="s">
        <v>13</v>
      </c>
      <c r="L1" s="5" t="s">
        <v>14</v>
      </c>
      <c r="M1" s="4" t="s">
        <v>0</v>
      </c>
      <c r="N1" s="4" t="s">
        <v>1</v>
      </c>
      <c r="O1" s="4" t="s">
        <v>44</v>
      </c>
      <c r="P1" s="4" t="s">
        <v>45</v>
      </c>
      <c r="Q1" s="4" t="s">
        <v>46</v>
      </c>
      <c r="R1" s="4" t="s">
        <v>57</v>
      </c>
      <c r="S1" s="4" t="s">
        <v>58</v>
      </c>
    </row>
    <row r="2" spans="1:19" x14ac:dyDescent="0.3">
      <c r="A2">
        <v>1</v>
      </c>
      <c r="B2">
        <v>22</v>
      </c>
      <c r="C2" t="s">
        <v>2</v>
      </c>
      <c r="D2">
        <v>12</v>
      </c>
      <c r="E2">
        <v>100</v>
      </c>
      <c r="F2">
        <v>0</v>
      </c>
      <c r="G2">
        <v>88.75</v>
      </c>
      <c r="H2">
        <v>61.25</v>
      </c>
      <c r="I2">
        <f>27/0.3</f>
        <v>90</v>
      </c>
      <c r="J2">
        <f>23/0.42</f>
        <v>54.761904761904766</v>
      </c>
      <c r="K2">
        <f>4/0.2</f>
        <v>20</v>
      </c>
      <c r="L2">
        <f>5/0.2</f>
        <v>25</v>
      </c>
      <c r="M2" s="1">
        <v>82.666666666666671</v>
      </c>
      <c r="N2" s="1">
        <v>48.666666666666671</v>
      </c>
      <c r="O2">
        <v>67</v>
      </c>
      <c r="P2">
        <v>11</v>
      </c>
      <c r="Q2" t="s">
        <v>49</v>
      </c>
      <c r="R2" t="s">
        <v>52</v>
      </c>
      <c r="S2">
        <v>1</v>
      </c>
    </row>
    <row r="3" spans="1:19" x14ac:dyDescent="0.3">
      <c r="A3">
        <v>2</v>
      </c>
      <c r="B3">
        <v>21</v>
      </c>
      <c r="C3" t="s">
        <v>2</v>
      </c>
      <c r="D3">
        <v>13</v>
      </c>
      <c r="E3">
        <v>50</v>
      </c>
      <c r="F3">
        <v>50</v>
      </c>
      <c r="G3">
        <v>86.25</v>
      </c>
      <c r="H3">
        <v>65</v>
      </c>
      <c r="I3">
        <f>22/0.3</f>
        <v>73.333333333333343</v>
      </c>
      <c r="J3">
        <f>19/0.42</f>
        <v>45.238095238095241</v>
      </c>
      <c r="K3">
        <f>14/0.2</f>
        <v>70</v>
      </c>
      <c r="L3">
        <f>13/0.2</f>
        <v>65</v>
      </c>
      <c r="M3" s="1">
        <v>72</v>
      </c>
      <c r="N3" s="1">
        <v>37.333333333333329</v>
      </c>
      <c r="O3">
        <v>78</v>
      </c>
      <c r="P3">
        <v>7</v>
      </c>
      <c r="Q3" t="s">
        <v>47</v>
      </c>
      <c r="R3" t="s">
        <v>52</v>
      </c>
      <c r="S3">
        <v>1</v>
      </c>
    </row>
    <row r="4" spans="1:19" x14ac:dyDescent="0.3">
      <c r="A4">
        <v>3</v>
      </c>
      <c r="B4">
        <v>21.5</v>
      </c>
      <c r="C4" t="s">
        <v>2</v>
      </c>
      <c r="D4">
        <v>12</v>
      </c>
      <c r="E4">
        <v>50</v>
      </c>
      <c r="F4">
        <v>50</v>
      </c>
      <c r="G4">
        <v>88.75</v>
      </c>
      <c r="H4">
        <v>83.75</v>
      </c>
      <c r="I4">
        <f>25/0.3</f>
        <v>83.333333333333343</v>
      </c>
      <c r="J4">
        <f>30/0.42</f>
        <v>71.428571428571431</v>
      </c>
      <c r="K4">
        <v>65</v>
      </c>
      <c r="L4">
        <v>70</v>
      </c>
      <c r="M4" s="1">
        <v>85.333333333333343</v>
      </c>
      <c r="N4" s="1">
        <v>66.666666666666671</v>
      </c>
      <c r="O4">
        <v>97</v>
      </c>
      <c r="P4">
        <v>13</v>
      </c>
      <c r="Q4" t="s">
        <v>49</v>
      </c>
      <c r="R4" t="s">
        <v>52</v>
      </c>
      <c r="S4">
        <v>1</v>
      </c>
    </row>
    <row r="5" spans="1:19" x14ac:dyDescent="0.3">
      <c r="A5">
        <v>4</v>
      </c>
      <c r="B5">
        <v>21</v>
      </c>
      <c r="C5" t="s">
        <v>2</v>
      </c>
      <c r="D5">
        <v>12</v>
      </c>
      <c r="E5">
        <v>100</v>
      </c>
      <c r="F5">
        <v>0</v>
      </c>
      <c r="G5">
        <v>92.5</v>
      </c>
      <c r="H5">
        <v>70</v>
      </c>
      <c r="I5">
        <f>21/0.3</f>
        <v>70</v>
      </c>
      <c r="J5">
        <f>25/0.42</f>
        <v>59.523809523809526</v>
      </c>
      <c r="K5">
        <f>14/0.2</f>
        <v>70</v>
      </c>
      <c r="L5">
        <f>13/0.2</f>
        <v>65</v>
      </c>
      <c r="M5" s="1">
        <v>78.666666666666657</v>
      </c>
      <c r="N5" s="1">
        <v>46.666666666666671</v>
      </c>
      <c r="O5">
        <v>94</v>
      </c>
      <c r="P5">
        <v>8</v>
      </c>
      <c r="Q5" t="s">
        <v>47</v>
      </c>
      <c r="R5" t="s">
        <v>52</v>
      </c>
      <c r="S5">
        <v>1</v>
      </c>
    </row>
    <row r="6" spans="1:19" x14ac:dyDescent="0.3">
      <c r="A6">
        <v>5</v>
      </c>
      <c r="B6">
        <v>22</v>
      </c>
      <c r="C6" t="s">
        <v>3</v>
      </c>
      <c r="D6">
        <v>10</v>
      </c>
      <c r="E6">
        <f>7/0.09</f>
        <v>77.777777777777786</v>
      </c>
      <c r="F6">
        <f>2/0.09</f>
        <v>22.222222222222221</v>
      </c>
      <c r="G6">
        <v>86.25</v>
      </c>
      <c r="H6">
        <v>85</v>
      </c>
      <c r="I6">
        <f>22/0.3</f>
        <v>73.333333333333343</v>
      </c>
      <c r="J6">
        <f>33/0.42</f>
        <v>78.571428571428569</v>
      </c>
      <c r="K6">
        <f>16/0.2</f>
        <v>80</v>
      </c>
      <c r="L6">
        <f>13/0.2</f>
        <v>65</v>
      </c>
      <c r="M6" s="1">
        <v>78</v>
      </c>
      <c r="N6" s="1">
        <v>62.666666666666671</v>
      </c>
      <c r="O6">
        <v>81</v>
      </c>
      <c r="P6">
        <v>8</v>
      </c>
      <c r="Q6" t="s">
        <v>49</v>
      </c>
      <c r="R6" t="s">
        <v>55</v>
      </c>
      <c r="S6">
        <v>1</v>
      </c>
    </row>
    <row r="7" spans="1:19" x14ac:dyDescent="0.3">
      <c r="A7">
        <v>6</v>
      </c>
      <c r="B7">
        <v>20</v>
      </c>
      <c r="C7" t="s">
        <v>2</v>
      </c>
      <c r="D7">
        <v>13</v>
      </c>
      <c r="E7">
        <v>100</v>
      </c>
      <c r="F7">
        <v>0</v>
      </c>
      <c r="G7">
        <v>87.5</v>
      </c>
      <c r="H7">
        <v>67.5</v>
      </c>
      <c r="I7">
        <f>21/0.3</f>
        <v>70</v>
      </c>
      <c r="J7">
        <f>23/0.42</f>
        <v>54.761904761904766</v>
      </c>
      <c r="K7">
        <f>13/0.2</f>
        <v>65</v>
      </c>
      <c r="L7">
        <f>11/0.2</f>
        <v>55</v>
      </c>
      <c r="M7" s="1">
        <v>74</v>
      </c>
      <c r="N7" s="1">
        <v>46</v>
      </c>
      <c r="O7">
        <v>75</v>
      </c>
      <c r="P7">
        <v>12</v>
      </c>
      <c r="Q7" t="s">
        <v>47</v>
      </c>
      <c r="R7" t="s">
        <v>52</v>
      </c>
      <c r="S7">
        <v>1</v>
      </c>
    </row>
    <row r="8" spans="1:19" x14ac:dyDescent="0.3">
      <c r="A8">
        <v>7</v>
      </c>
      <c r="B8">
        <v>23</v>
      </c>
      <c r="C8" t="s">
        <v>2</v>
      </c>
      <c r="D8">
        <v>14</v>
      </c>
      <c r="E8">
        <v>50</v>
      </c>
      <c r="F8">
        <v>50</v>
      </c>
      <c r="G8">
        <v>95</v>
      </c>
      <c r="H8">
        <v>63.75</v>
      </c>
      <c r="I8">
        <f>22/0.3</f>
        <v>73.333333333333343</v>
      </c>
      <c r="J8">
        <f>24/0.42</f>
        <v>57.142857142857146</v>
      </c>
      <c r="K8">
        <v>60</v>
      </c>
      <c r="L8">
        <v>50</v>
      </c>
      <c r="M8" s="1">
        <v>68.666666666666671</v>
      </c>
      <c r="N8" s="1">
        <v>41.333333333333336</v>
      </c>
      <c r="O8">
        <v>71</v>
      </c>
      <c r="P8">
        <v>14</v>
      </c>
      <c r="Q8" t="s">
        <v>50</v>
      </c>
      <c r="R8" t="s">
        <v>52</v>
      </c>
      <c r="S8">
        <v>1</v>
      </c>
    </row>
    <row r="9" spans="1:19" x14ac:dyDescent="0.3">
      <c r="A9">
        <v>8</v>
      </c>
      <c r="B9">
        <v>20</v>
      </c>
      <c r="C9" t="s">
        <v>3</v>
      </c>
      <c r="D9">
        <v>12</v>
      </c>
      <c r="E9">
        <f>7/0.075</f>
        <v>93.333333333333343</v>
      </c>
      <c r="F9">
        <f>0.5/0.075</f>
        <v>6.666666666666667</v>
      </c>
      <c r="G9">
        <v>95</v>
      </c>
      <c r="H9">
        <v>76.25</v>
      </c>
      <c r="I9">
        <f>17/0.2</f>
        <v>85</v>
      </c>
      <c r="J9">
        <f>33/0.42</f>
        <v>78.571428571428569</v>
      </c>
      <c r="K9">
        <f>10/0.2</f>
        <v>50</v>
      </c>
      <c r="L9">
        <f>15/0.2</f>
        <v>75</v>
      </c>
      <c r="M9" s="1">
        <v>86</v>
      </c>
      <c r="N9" s="1">
        <v>55.333333333333336</v>
      </c>
      <c r="O9">
        <v>77</v>
      </c>
      <c r="P9">
        <v>8</v>
      </c>
      <c r="Q9" t="s">
        <v>49</v>
      </c>
      <c r="R9" t="s">
        <v>54</v>
      </c>
      <c r="S9">
        <v>1</v>
      </c>
    </row>
    <row r="10" spans="1:19" x14ac:dyDescent="0.3">
      <c r="A10">
        <v>9</v>
      </c>
      <c r="B10">
        <v>22</v>
      </c>
      <c r="C10" t="s">
        <v>3</v>
      </c>
      <c r="D10">
        <v>14</v>
      </c>
      <c r="E10">
        <f>7/0.085</f>
        <v>82.35294117647058</v>
      </c>
      <c r="F10">
        <f>1.5/0.085</f>
        <v>17.647058823529409</v>
      </c>
      <c r="G10">
        <v>71.25</v>
      </c>
      <c r="H10">
        <v>76.25</v>
      </c>
      <c r="I10">
        <f>16/0.3</f>
        <v>53.333333333333336</v>
      </c>
      <c r="J10">
        <f>24/0.42</f>
        <v>57.142857142857146</v>
      </c>
      <c r="K10">
        <v>70</v>
      </c>
      <c r="L10">
        <v>65</v>
      </c>
      <c r="M10" s="1">
        <v>63.333333333333329</v>
      </c>
      <c r="N10" s="1">
        <v>56.666666666666664</v>
      </c>
      <c r="O10">
        <v>78</v>
      </c>
      <c r="P10">
        <v>6</v>
      </c>
      <c r="Q10" t="s">
        <v>49</v>
      </c>
      <c r="R10" t="s">
        <v>52</v>
      </c>
      <c r="S10">
        <v>1</v>
      </c>
    </row>
    <row r="11" spans="1:19" x14ac:dyDescent="0.3">
      <c r="A11">
        <v>10</v>
      </c>
      <c r="B11">
        <v>22</v>
      </c>
      <c r="C11" t="s">
        <v>2</v>
      </c>
      <c r="D11">
        <v>12</v>
      </c>
      <c r="E11">
        <f>7/0.115</f>
        <v>60.869565217391305</v>
      </c>
      <c r="F11">
        <f>4.5/0.115</f>
        <v>39.130434782608695</v>
      </c>
      <c r="G11">
        <v>90</v>
      </c>
      <c r="H11">
        <v>75</v>
      </c>
      <c r="I11">
        <f>22/0.3</f>
        <v>73.333333333333343</v>
      </c>
      <c r="J11">
        <f>23/0.42</f>
        <v>54.761904761904766</v>
      </c>
      <c r="K11">
        <f>15/0.2</f>
        <v>75</v>
      </c>
      <c r="L11">
        <f>16/0.2</f>
        <v>80</v>
      </c>
      <c r="M11" s="1">
        <v>71.333333333333343</v>
      </c>
      <c r="N11" s="1">
        <v>55.333333333333336</v>
      </c>
      <c r="O11">
        <v>76</v>
      </c>
      <c r="P11">
        <v>11</v>
      </c>
      <c r="Q11" t="s">
        <v>47</v>
      </c>
      <c r="R11" t="s">
        <v>55</v>
      </c>
      <c r="S11">
        <v>1</v>
      </c>
    </row>
    <row r="12" spans="1:19" x14ac:dyDescent="0.3">
      <c r="A12">
        <v>11</v>
      </c>
      <c r="B12">
        <v>20</v>
      </c>
      <c r="C12" t="s">
        <v>2</v>
      </c>
      <c r="D12">
        <v>14</v>
      </c>
      <c r="E12">
        <v>100</v>
      </c>
      <c r="F12">
        <v>0</v>
      </c>
      <c r="G12">
        <v>88.75</v>
      </c>
      <c r="H12">
        <v>71.25</v>
      </c>
      <c r="I12">
        <f>19/0.3</f>
        <v>63.333333333333336</v>
      </c>
      <c r="J12">
        <f>20/0.42</f>
        <v>47.61904761904762</v>
      </c>
      <c r="K12">
        <f>14/0.2</f>
        <v>70</v>
      </c>
      <c r="L12">
        <f>14/0.2</f>
        <v>70</v>
      </c>
      <c r="M12" s="1">
        <v>73.333333333333329</v>
      </c>
      <c r="N12" s="1">
        <v>42.000000000000007</v>
      </c>
      <c r="O12">
        <v>68</v>
      </c>
      <c r="P12">
        <v>16</v>
      </c>
      <c r="Q12" t="s">
        <v>47</v>
      </c>
      <c r="R12" t="s">
        <v>52</v>
      </c>
      <c r="S12">
        <v>1</v>
      </c>
    </row>
    <row r="13" spans="1:19" x14ac:dyDescent="0.3">
      <c r="A13">
        <v>12</v>
      </c>
      <c r="B13">
        <v>22</v>
      </c>
      <c r="C13" t="s">
        <v>3</v>
      </c>
      <c r="D13">
        <v>4</v>
      </c>
      <c r="E13">
        <f>7/0.12</f>
        <v>58.333333333333336</v>
      </c>
      <c r="F13">
        <f>5/0.12</f>
        <v>41.666666666666671</v>
      </c>
      <c r="G13">
        <v>90</v>
      </c>
      <c r="H13">
        <v>91.25</v>
      </c>
      <c r="I13">
        <f>24/0.3</f>
        <v>80</v>
      </c>
      <c r="J13">
        <f>29/0.42</f>
        <v>69.047619047619051</v>
      </c>
      <c r="K13">
        <f>17/0.2</f>
        <v>85</v>
      </c>
      <c r="L13">
        <f>13/0.2</f>
        <v>65</v>
      </c>
      <c r="M13" s="1">
        <v>82</v>
      </c>
      <c r="N13" s="1">
        <v>79.333333333333329</v>
      </c>
      <c r="O13">
        <v>55</v>
      </c>
      <c r="P13">
        <v>16</v>
      </c>
      <c r="Q13" t="s">
        <v>47</v>
      </c>
      <c r="R13" t="s">
        <v>52</v>
      </c>
      <c r="S13">
        <v>1</v>
      </c>
    </row>
    <row r="14" spans="1:19" x14ac:dyDescent="0.3">
      <c r="A14">
        <v>13</v>
      </c>
      <c r="B14">
        <v>23</v>
      </c>
      <c r="C14" t="s">
        <v>2</v>
      </c>
      <c r="D14">
        <v>10</v>
      </c>
      <c r="E14">
        <v>100</v>
      </c>
      <c r="F14">
        <v>0</v>
      </c>
      <c r="G14">
        <v>91.25</v>
      </c>
      <c r="H14">
        <v>62.5</v>
      </c>
      <c r="I14">
        <f>17/0.3</f>
        <v>56.666666666666671</v>
      </c>
      <c r="J14">
        <f>17/0.42</f>
        <v>40.476190476190474</v>
      </c>
      <c r="K14">
        <f>11/0.2</f>
        <v>55</v>
      </c>
      <c r="L14">
        <f>15/0.2</f>
        <v>75</v>
      </c>
      <c r="M14" s="1">
        <v>68</v>
      </c>
      <c r="N14" s="1">
        <v>38.666666666666671</v>
      </c>
      <c r="O14">
        <v>71</v>
      </c>
      <c r="P14">
        <v>6</v>
      </c>
      <c r="Q14" t="s">
        <v>51</v>
      </c>
      <c r="R14" t="s">
        <v>52</v>
      </c>
      <c r="S14">
        <v>1</v>
      </c>
    </row>
    <row r="15" spans="1:19" x14ac:dyDescent="0.3">
      <c r="A15">
        <v>14</v>
      </c>
      <c r="B15">
        <v>23</v>
      </c>
      <c r="C15" t="s">
        <v>2</v>
      </c>
      <c r="D15">
        <v>14</v>
      </c>
      <c r="E15">
        <f>7/0.12</f>
        <v>58.333333333333336</v>
      </c>
      <c r="F15">
        <f>5/0.12</f>
        <v>41.666666666666671</v>
      </c>
      <c r="G15">
        <v>87.5</v>
      </c>
      <c r="H15">
        <v>68.75</v>
      </c>
      <c r="I15">
        <v>50</v>
      </c>
      <c r="J15">
        <f>25/0.42</f>
        <v>59.523809523809526</v>
      </c>
      <c r="K15">
        <f>15/0.2</f>
        <v>75</v>
      </c>
      <c r="L15">
        <f>13/0.2</f>
        <v>65</v>
      </c>
      <c r="M15" s="1">
        <v>79.333333333333329</v>
      </c>
      <c r="N15" s="1">
        <v>44.000000000000007</v>
      </c>
      <c r="O15">
        <v>63</v>
      </c>
      <c r="P15">
        <v>11</v>
      </c>
      <c r="Q15" t="s">
        <v>49</v>
      </c>
      <c r="R15" t="s">
        <v>55</v>
      </c>
      <c r="S15">
        <v>1</v>
      </c>
    </row>
    <row r="16" spans="1:19" x14ac:dyDescent="0.3">
      <c r="A16">
        <v>15</v>
      </c>
      <c r="B16">
        <v>23</v>
      </c>
      <c r="C16" t="s">
        <v>3</v>
      </c>
      <c r="D16">
        <v>10</v>
      </c>
      <c r="E16">
        <v>50</v>
      </c>
      <c r="F16">
        <v>50</v>
      </c>
      <c r="G16">
        <v>85</v>
      </c>
      <c r="H16">
        <v>78.75</v>
      </c>
      <c r="I16">
        <v>50</v>
      </c>
      <c r="J16">
        <f>24/0.42</f>
        <v>57.142857142857146</v>
      </c>
      <c r="K16">
        <f>14/0.2</f>
        <v>70</v>
      </c>
      <c r="L16">
        <f>15/0.2</f>
        <v>75</v>
      </c>
      <c r="M16" s="1">
        <v>70.666666666666671</v>
      </c>
      <c r="N16" s="1">
        <v>67.333333333333329</v>
      </c>
      <c r="O16">
        <v>60</v>
      </c>
      <c r="P16">
        <v>6</v>
      </c>
      <c r="Q16" t="s">
        <v>42</v>
      </c>
      <c r="R16" t="s">
        <v>52</v>
      </c>
      <c r="S16">
        <v>1</v>
      </c>
    </row>
    <row r="17" spans="1:19" x14ac:dyDescent="0.3">
      <c r="A17">
        <v>16</v>
      </c>
      <c r="B17">
        <v>19</v>
      </c>
      <c r="C17" t="s">
        <v>2</v>
      </c>
      <c r="D17">
        <v>10</v>
      </c>
      <c r="E17">
        <v>70</v>
      </c>
      <c r="F17">
        <v>30</v>
      </c>
      <c r="G17">
        <v>82.5</v>
      </c>
      <c r="H17">
        <v>65</v>
      </c>
      <c r="I17">
        <v>60</v>
      </c>
      <c r="J17">
        <v>42.8</v>
      </c>
      <c r="K17">
        <v>75</v>
      </c>
      <c r="L17">
        <v>55</v>
      </c>
      <c r="M17" s="1">
        <v>79.33</v>
      </c>
      <c r="N17" s="1">
        <v>89.37</v>
      </c>
      <c r="O17">
        <v>74</v>
      </c>
      <c r="P17">
        <v>9</v>
      </c>
      <c r="Q17" t="s">
        <v>48</v>
      </c>
      <c r="R17" t="s">
        <v>52</v>
      </c>
      <c r="S17">
        <v>2</v>
      </c>
    </row>
    <row r="18" spans="1:19" x14ac:dyDescent="0.3">
      <c r="A18">
        <v>17</v>
      </c>
      <c r="B18">
        <v>23</v>
      </c>
      <c r="C18" t="s">
        <v>2</v>
      </c>
      <c r="D18">
        <v>12</v>
      </c>
      <c r="E18">
        <v>50</v>
      </c>
      <c r="F18">
        <v>50</v>
      </c>
      <c r="G18">
        <v>76.25</v>
      </c>
      <c r="H18">
        <v>83.75</v>
      </c>
      <c r="I18">
        <v>56.666666667000001</v>
      </c>
      <c r="J18">
        <v>78.571428600000004</v>
      </c>
      <c r="K18">
        <v>75</v>
      </c>
      <c r="L18">
        <v>85</v>
      </c>
      <c r="M18" s="1">
        <v>87.33</v>
      </c>
      <c r="N18">
        <v>86.33</v>
      </c>
      <c r="O18">
        <v>49</v>
      </c>
      <c r="P18">
        <v>19</v>
      </c>
      <c r="Q18" t="s">
        <v>49</v>
      </c>
      <c r="R18" t="s">
        <v>53</v>
      </c>
      <c r="S18">
        <v>2</v>
      </c>
    </row>
    <row r="19" spans="1:19" x14ac:dyDescent="0.3">
      <c r="A19">
        <v>18</v>
      </c>
      <c r="B19">
        <v>22</v>
      </c>
      <c r="C19" t="s">
        <v>2</v>
      </c>
      <c r="D19">
        <v>11</v>
      </c>
      <c r="E19">
        <v>50</v>
      </c>
      <c r="F19">
        <v>50</v>
      </c>
      <c r="G19">
        <v>86.25</v>
      </c>
      <c r="H19">
        <v>91.25</v>
      </c>
      <c r="I19">
        <v>63.333333330000002</v>
      </c>
      <c r="J19">
        <v>54.761904800000003</v>
      </c>
      <c r="K19">
        <v>75</v>
      </c>
      <c r="L19">
        <v>70</v>
      </c>
      <c r="M19" s="1">
        <v>92</v>
      </c>
      <c r="N19" s="1">
        <v>88.67</v>
      </c>
      <c r="O19">
        <v>70</v>
      </c>
      <c r="P19">
        <v>16</v>
      </c>
      <c r="Q19" t="s">
        <v>49</v>
      </c>
      <c r="R19" t="s">
        <v>52</v>
      </c>
      <c r="S19">
        <v>2</v>
      </c>
    </row>
    <row r="20" spans="1:19" x14ac:dyDescent="0.3">
      <c r="A20">
        <v>19</v>
      </c>
      <c r="B20">
        <v>20</v>
      </c>
      <c r="C20" t="s">
        <v>43</v>
      </c>
      <c r="D20">
        <v>6</v>
      </c>
      <c r="E20">
        <f>7/0.09</f>
        <v>77.777777777777786</v>
      </c>
      <c r="F20">
        <f>2/0.09</f>
        <v>22.222222222222221</v>
      </c>
      <c r="G20">
        <v>86.25</v>
      </c>
      <c r="H20">
        <v>70</v>
      </c>
      <c r="I20">
        <v>86.666666667000001</v>
      </c>
      <c r="J20">
        <v>66.666666699999993</v>
      </c>
      <c r="K20">
        <v>70</v>
      </c>
      <c r="L20">
        <v>70</v>
      </c>
      <c r="M20">
        <v>80.67</v>
      </c>
      <c r="N20">
        <v>78.67</v>
      </c>
      <c r="O20">
        <v>74</v>
      </c>
      <c r="P20">
        <v>18</v>
      </c>
      <c r="Q20" t="s">
        <v>49</v>
      </c>
      <c r="R20" t="s">
        <v>56</v>
      </c>
      <c r="S20">
        <v>2</v>
      </c>
    </row>
    <row r="21" spans="1:19" x14ac:dyDescent="0.3">
      <c r="A21">
        <v>20</v>
      </c>
      <c r="B21">
        <v>23</v>
      </c>
      <c r="C21" t="s">
        <v>2</v>
      </c>
      <c r="D21">
        <v>12</v>
      </c>
      <c r="E21">
        <v>75</v>
      </c>
      <c r="F21">
        <v>25</v>
      </c>
      <c r="G21">
        <v>85</v>
      </c>
      <c r="H21">
        <v>66.25</v>
      </c>
      <c r="I21">
        <v>53.333333332999999</v>
      </c>
      <c r="J21">
        <v>50</v>
      </c>
      <c r="K21">
        <v>75</v>
      </c>
      <c r="L21">
        <v>45</v>
      </c>
      <c r="M21">
        <v>83.67</v>
      </c>
      <c r="N21">
        <v>70.33</v>
      </c>
      <c r="O21">
        <v>75</v>
      </c>
      <c r="P21">
        <v>11</v>
      </c>
      <c r="Q21" t="s">
        <v>49</v>
      </c>
      <c r="R21" t="s">
        <v>52</v>
      </c>
      <c r="S2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20"/>
  <sheetViews>
    <sheetView workbookViewId="0">
      <selection activeCell="A15" sqref="A15"/>
    </sheetView>
  </sheetViews>
  <sheetFormatPr defaultRowHeight="14.4" x14ac:dyDescent="0.3"/>
  <cols>
    <col min="1" max="1" width="21.6640625" bestFit="1" customWidth="1"/>
    <col min="2" max="2" width="126.44140625" bestFit="1" customWidth="1"/>
  </cols>
  <sheetData>
    <row r="2" spans="1:2" ht="15.6" x14ac:dyDescent="0.3">
      <c r="A2" s="2" t="s">
        <v>4</v>
      </c>
      <c r="B2" s="3" t="s">
        <v>18</v>
      </c>
    </row>
    <row r="3" spans="1:2" ht="15.6" x14ac:dyDescent="0.3">
      <c r="A3" s="3" t="s">
        <v>19</v>
      </c>
      <c r="B3" s="3" t="s">
        <v>20</v>
      </c>
    </row>
    <row r="4" spans="1:2" ht="15.6" x14ac:dyDescent="0.3">
      <c r="A4" s="2" t="s">
        <v>5</v>
      </c>
      <c r="B4" s="3" t="s">
        <v>21</v>
      </c>
    </row>
    <row r="5" spans="1:2" ht="15.6" x14ac:dyDescent="0.3">
      <c r="A5" s="2" t="s">
        <v>22</v>
      </c>
      <c r="B5" s="3" t="s">
        <v>23</v>
      </c>
    </row>
    <row r="6" spans="1:2" ht="15.6" x14ac:dyDescent="0.3">
      <c r="A6" s="2" t="s">
        <v>6</v>
      </c>
      <c r="B6" s="3" t="s">
        <v>24</v>
      </c>
    </row>
    <row r="7" spans="1:2" ht="15.6" x14ac:dyDescent="0.3">
      <c r="A7" s="2" t="s">
        <v>7</v>
      </c>
      <c r="B7" s="3" t="s">
        <v>25</v>
      </c>
    </row>
    <row r="8" spans="1:2" ht="15.6" x14ac:dyDescent="0.3">
      <c r="A8" s="2" t="s">
        <v>8</v>
      </c>
      <c r="B8" s="3" t="s">
        <v>26</v>
      </c>
    </row>
    <row r="9" spans="1:2" ht="15.6" x14ac:dyDescent="0.3">
      <c r="A9" s="2" t="s">
        <v>9</v>
      </c>
      <c r="B9" s="3" t="s">
        <v>27</v>
      </c>
    </row>
    <row r="10" spans="1:2" ht="15.6" x14ac:dyDescent="0.3">
      <c r="A10" s="2" t="s">
        <v>10</v>
      </c>
      <c r="B10" s="3" t="s">
        <v>28</v>
      </c>
    </row>
    <row r="11" spans="1:2" ht="15.6" x14ac:dyDescent="0.3">
      <c r="A11" s="2" t="s">
        <v>11</v>
      </c>
      <c r="B11" s="3" t="s">
        <v>29</v>
      </c>
    </row>
    <row r="12" spans="1:2" ht="15.6" x14ac:dyDescent="0.3">
      <c r="A12" s="3" t="s">
        <v>12</v>
      </c>
      <c r="B12" s="3" t="s">
        <v>30</v>
      </c>
    </row>
    <row r="13" spans="1:2" ht="15.6" x14ac:dyDescent="0.3">
      <c r="A13" s="2" t="s">
        <v>13</v>
      </c>
      <c r="B13" s="3" t="s">
        <v>31</v>
      </c>
    </row>
    <row r="14" spans="1:2" ht="15.6" x14ac:dyDescent="0.3">
      <c r="A14" s="2" t="s">
        <v>14</v>
      </c>
      <c r="B14" s="3" t="s">
        <v>32</v>
      </c>
    </row>
    <row r="15" spans="1:2" ht="15.6" x14ac:dyDescent="0.3">
      <c r="A15" s="2" t="s">
        <v>33</v>
      </c>
      <c r="B15" s="3" t="s">
        <v>34</v>
      </c>
    </row>
    <row r="16" spans="1:2" ht="15.6" x14ac:dyDescent="0.3">
      <c r="A16" s="2" t="s">
        <v>35</v>
      </c>
      <c r="B16" s="3" t="s">
        <v>36</v>
      </c>
    </row>
    <row r="17" spans="1:2" ht="15.6" x14ac:dyDescent="0.3">
      <c r="A17" s="2" t="s">
        <v>40</v>
      </c>
      <c r="B17" s="3" t="s">
        <v>41</v>
      </c>
    </row>
    <row r="18" spans="1:2" ht="15.6" x14ac:dyDescent="0.3">
      <c r="A18" s="7" t="s">
        <v>15</v>
      </c>
      <c r="B18" s="3" t="s">
        <v>37</v>
      </c>
    </row>
    <row r="19" spans="1:2" ht="15.6" x14ac:dyDescent="0.3">
      <c r="A19" s="7" t="s">
        <v>16</v>
      </c>
      <c r="B19" s="3" t="s">
        <v>38</v>
      </c>
    </row>
    <row r="20" spans="1:2" ht="15.6" x14ac:dyDescent="0.3">
      <c r="A20" s="7" t="s">
        <v>17</v>
      </c>
      <c r="B20" s="3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</dc:creator>
  <cp:lastModifiedBy>Sam Boeve</cp:lastModifiedBy>
  <dcterms:created xsi:type="dcterms:W3CDTF">2021-03-30T12:35:33Z</dcterms:created>
  <dcterms:modified xsi:type="dcterms:W3CDTF">2026-01-15T13:53:21Z</dcterms:modified>
</cp:coreProperties>
</file>